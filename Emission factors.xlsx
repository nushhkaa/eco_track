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Shequal\"/>
    </mc:Choice>
  </mc:AlternateContent>
  <xr:revisionPtr revIDLastSave="0" documentId="8_{A6FF3C70-927F-45BD-A50A-4361A5A525D8}" xr6:coauthVersionLast="47" xr6:coauthVersionMax="47" xr10:uidLastSave="{00000000-0000-0000-0000-000000000000}"/>
  <bookViews>
    <workbookView xWindow="2340" yWindow="2340" windowWidth="21600" windowHeight="12645" xr2:uid="{16787F1A-4BA4-4962-B383-C321DCD873E8}"/>
  </bookViews>
  <sheets>
    <sheet name="Emission factor" sheetId="2" r:id="rId1"/>
    <sheet name="Solid waste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5" i="2" l="1"/>
  <c r="I32" i="2"/>
  <c r="I31" i="2"/>
  <c r="I30" i="2"/>
  <c r="I29" i="2"/>
  <c r="I28" i="2"/>
  <c r="I27" i="2"/>
  <c r="D14" i="2" l="1"/>
  <c r="J45" i="3"/>
  <c r="J44" i="3"/>
  <c r="J43" i="3"/>
  <c r="J42" i="3"/>
  <c r="J41" i="3"/>
  <c r="J40" i="3"/>
  <c r="J39" i="3"/>
  <c r="J38" i="3"/>
  <c r="B44" i="3"/>
  <c r="B43" i="3"/>
  <c r="B42" i="3"/>
  <c r="B41" i="3"/>
  <c r="B40" i="3"/>
  <c r="B39" i="3"/>
  <c r="B38" i="3"/>
  <c r="B45" i="3"/>
  <c r="C27" i="3"/>
  <c r="E27" i="3" s="1"/>
  <c r="C26" i="3"/>
  <c r="E26" i="3" s="1"/>
  <c r="C25" i="3"/>
  <c r="E25" i="3" s="1"/>
  <c r="E28" i="3" s="1"/>
  <c r="E24" i="3"/>
  <c r="C24" i="3"/>
  <c r="J48" i="3" l="1"/>
  <c r="J49" i="3" s="1"/>
  <c r="J50" i="3" s="1"/>
  <c r="J51" i="3" s="1"/>
  <c r="J52" i="3" s="1"/>
  <c r="J55" i="3" s="1"/>
  <c r="D15" i="2" s="1"/>
  <c r="B48" i="3"/>
  <c r="B49" i="3" s="1"/>
  <c r="B50" i="3" s="1"/>
  <c r="B51" i="3" s="1"/>
  <c r="B52" i="3" s="1"/>
  <c r="B55" i="3" s="1"/>
  <c r="D22" i="2"/>
  <c r="D37" i="2"/>
  <c r="D36" i="2"/>
  <c r="D34" i="2" l="1"/>
  <c r="D32" i="2"/>
  <c r="J25" i="2"/>
  <c r="G19" i="2" l="1"/>
  <c r="G18" i="2"/>
  <c r="G17" i="2"/>
</calcChain>
</file>

<file path=xl/sharedStrings.xml><?xml version="1.0" encoding="utf-8"?>
<sst xmlns="http://schemas.openxmlformats.org/spreadsheetml/2006/main" count="332" uniqueCount="222">
  <si>
    <t>LPG use</t>
  </si>
  <si>
    <t>kg</t>
  </si>
  <si>
    <t>kg CO₂e/kg</t>
  </si>
  <si>
    <t>Petrol vehicles</t>
  </si>
  <si>
    <t>Diesel vehicles</t>
  </si>
  <si>
    <t>Refrigerant leakage – R-134a</t>
  </si>
  <si>
    <t>Refrigerant leakage – R-404A</t>
  </si>
  <si>
    <t>kg CO₂e/unit</t>
  </si>
  <si>
    <t>Anesthetic gases</t>
  </si>
  <si>
    <t>kWh</t>
  </si>
  <si>
    <t>kg CO₂e/kWh</t>
  </si>
  <si>
    <t>Agricultural raw materials</t>
  </si>
  <si>
    <t>Medical supplies</t>
  </si>
  <si>
    <t>Cleaning agents and sanitizers</t>
  </si>
  <si>
    <t>NPR</t>
  </si>
  <si>
    <t>Buildings and infrastructure</t>
  </si>
  <si>
    <t>Machinery and equipment</t>
  </si>
  <si>
    <t>Solar panels</t>
  </si>
  <si>
    <t>kWp</t>
  </si>
  <si>
    <t>kg CO₂e/kWp</t>
  </si>
  <si>
    <t>Batteries</t>
  </si>
  <si>
    <t>Vehicles purchased</t>
  </si>
  <si>
    <t>Domestic flights</t>
  </si>
  <si>
    <t>International flights</t>
  </si>
  <si>
    <t>Hotel stays</t>
  </si>
  <si>
    <t>Number of nights</t>
  </si>
  <si>
    <t>ICT products electricity use</t>
  </si>
  <si>
    <t>Packaging disposal</t>
  </si>
  <si>
    <t>Electronic waste</t>
  </si>
  <si>
    <t>units or kg</t>
  </si>
  <si>
    <t>Battery disposal</t>
  </si>
  <si>
    <t>kg or kWh</t>
  </si>
  <si>
    <t>tCO₂e</t>
  </si>
  <si>
    <t>Emission factor</t>
  </si>
  <si>
    <t>Emission Source</t>
  </si>
  <si>
    <t>Activity Data</t>
  </si>
  <si>
    <t>Emission Factor</t>
  </si>
  <si>
    <t>Diesel for generators</t>
  </si>
  <si>
    <t>Liters/year</t>
  </si>
  <si>
    <t>2.65 kg CO₂/liter</t>
  </si>
  <si>
    <t>Petrol for generators</t>
  </si>
  <si>
    <t>Diesel for boiler (if used)</t>
  </si>
  <si>
    <t>Cylinders/year</t>
  </si>
  <si>
    <t>1.51 kg CO₂/kg LPG</t>
  </si>
  <si>
    <t>kg/year</t>
  </si>
  <si>
    <t>GWP of R134a = 1430</t>
  </si>
  <si>
    <t>https://learnmetrics.com/refrigerant-gwp-chart/</t>
  </si>
  <si>
    <t>GWP of R404a = 3920</t>
  </si>
  <si>
    <t>Grid electricity used</t>
  </si>
  <si>
    <t>kWh/year</t>
  </si>
  <si>
    <t>0.23 kg CO₂/kWh (Nepal avg.)</t>
  </si>
  <si>
    <t>https://asiantransportobservatory.org/documents/212/Nepal-transport-and-climate-policy.pdf</t>
  </si>
  <si>
    <t>NPR/year</t>
  </si>
  <si>
    <t>2439.53 kgCO₂e / 1,000,000 NPR</t>
  </si>
  <si>
    <t>https://www.daraz.com.np/products/flo-5-litre-dishwasher-liquid-i108073526-s1029097813.html?
https://hibacart.com/collections/housekeeping-chemicals/products/domex-disinfectant-floor-surface-cleaner-5-l</t>
  </si>
  <si>
    <t>Capital goods (IT, computers, etc.)</t>
  </si>
  <si>
    <t>1720 kgCO₂e / 1,000,000 NPR</t>
  </si>
  <si>
    <t>General waste (kitchen, admin, packaging)</t>
  </si>
  <si>
    <t>0.827 kg CO2e/kg</t>
  </si>
  <si>
    <t>Motorbike commute</t>
  </si>
  <si>
    <t>No. of staff × avg km/day × 300 days</t>
  </si>
  <si>
    <t>0.066 kg CO₂/km</t>
  </si>
  <si>
    <t>Assume average mileage= 35 km/l</t>
  </si>
  <si>
    <t>Car commute</t>
  </si>
  <si>
    <t>km/year</t>
  </si>
  <si>
    <t>0.19 kg CO₂/km</t>
  </si>
  <si>
    <t>Assume average mileage=12 km/l</t>
  </si>
  <si>
    <t>Bus commute</t>
  </si>
  <si>
    <t>0.016 kg CO₂/km</t>
  </si>
  <si>
    <t>Assume average mileage= 4 km/l and 40 passengers</t>
  </si>
  <si>
    <t>0.24587 kg CO₂/km</t>
  </si>
  <si>
    <t>https://www.climatiq.io/data/emission-factor/8ff56acc-aeb1-4e5d-aca0-ec1d3799a2c5</t>
  </si>
  <si>
    <t>Inter-city road travel and transportation of supplies</t>
  </si>
  <si>
    <t>0.275 kg CO₂/km</t>
  </si>
  <si>
    <t>https://doenv.gov.np/downloadfiles/final-report-of-Fuel-economy-95058-1660560763-(1)-1667889392.pdf</t>
  </si>
  <si>
    <t>Diesel for Forklifts and machinery</t>
  </si>
  <si>
    <t xml:space="preserve"> </t>
  </si>
  <si>
    <t>Invertors</t>
  </si>
  <si>
    <t>2.31 kg CO₂/liter</t>
  </si>
  <si>
    <t>Density of isoflurane = 1.5</t>
  </si>
  <si>
    <t>https://pubchem.ncbi.nlm.nih.gov/compound/3763</t>
  </si>
  <si>
    <t>GWP= 1401</t>
  </si>
  <si>
    <t>https://scispace.com/pdf/global-warming-potential-of-inhaled-anesthetics-application-ugc5ngawr9.pdf</t>
  </si>
  <si>
    <t>23350 kg CO2/L</t>
  </si>
  <si>
    <t>https://apps.carboncloud.com/climatehub/product-reports/id/122561696701</t>
  </si>
  <si>
    <t>0.61 kg/kg</t>
  </si>
  <si>
    <t>For wheat only</t>
  </si>
  <si>
    <t>Pharmaceuticals</t>
  </si>
  <si>
    <t>Lab reagents &amp; chemicals</t>
  </si>
  <si>
    <t>Cleaning agents &amp; sanitizers</t>
  </si>
  <si>
    <t>Rubber &amp; plastic products</t>
  </si>
  <si>
    <t>Basic pharmaceutical products &amp; preparations</t>
  </si>
  <si>
    <t>Other chemical products</t>
  </si>
  <si>
    <t>Soap/detergents/cleaning preparations (purchaser prices)</t>
  </si>
  <si>
    <t>Computer/electronic products (purchaser prices)</t>
  </si>
  <si>
    <t>For wheat</t>
  </si>
  <si>
    <t>kgCO₂e/ 1 million NPR</t>
  </si>
  <si>
    <t>Climatiq factor “Rubber and plastic products” (UK, spend-based; BEIS/DEFRA footprint). (Climatiq)</t>
  </si>
  <si>
    <t>Climatiq factor “Basic pharmaceutical products and pharmaceutical preparations” (UK, spend-based, 2023). (Climatiq)</t>
  </si>
  <si>
    <t>Climatiq factor “Other chemical products” (UK, spend-based; BEIS/DEFRA footprint). (Climatiq)</t>
  </si>
  <si>
    <t>Climatiq factor “Soap and detergents / cleaning… (purchaser prices)” (UK, 2023). (Climatiq)</t>
  </si>
  <si>
    <t>Climatiq factor “Computer / electronic and optical products (purchaser prices)” (UK, 2023). (Climatiq)</t>
  </si>
  <si>
    <t>Stationary supplies</t>
  </si>
  <si>
    <t>https://www.climatiq.io/data/emission-factor/394db77d-30c9-4eec-acda-d60e907d3f5f</t>
  </si>
  <si>
    <t>kgCO2e/1 million</t>
  </si>
  <si>
    <t>https://www.climatiq.io/data/emission-factor/78703b1b-bc12-4c45-93ae-ae5dd27a6906</t>
  </si>
  <si>
    <t>0.14787 kg CO₂/km</t>
  </si>
  <si>
    <t>https://www.sciencedirect.com/science/article/pii/S2666049024000057?dgcid=rss_sd_all</t>
  </si>
  <si>
    <t>kgCO2e/m2</t>
  </si>
  <si>
    <t>https://www.climatiq.io/data/explorer?search=machinery-type_machinery_and_equipment_not_specific&amp;page=1&amp;data_version=%5E33</t>
  </si>
  <si>
    <t>https://pmc.ncbi.nlm.nih.gov/articles/PMC9985043/</t>
  </si>
  <si>
    <t>1 kg battery = 2.42 kg CO2e</t>
  </si>
  <si>
    <t>https://eprints.whiterose.ac.uk/id/eprint/179003/7/</t>
  </si>
  <si>
    <t>1 kg = 40W=0.04kWh</t>
  </si>
  <si>
    <t>https://www.diva-portal.org/smash/get/diva2%3A1163424/FULLTEXT01.pdf</t>
  </si>
  <si>
    <t>https://ske-solar.com/fileadmin/user_upload/Certificate_Product_Carbon_Footprint_Report_SUN2000-3.68KTL-L1_EN.pdf</t>
  </si>
  <si>
    <t>kg CO2e/kVA</t>
  </si>
  <si>
    <t>transportation of supplies</t>
  </si>
  <si>
    <t>kg CO₂e/1000 NPR</t>
  </si>
  <si>
    <t>NPR in 1000s</t>
  </si>
  <si>
    <t>https://www.climatiq.io/data/emission-factor/a9b76f1f-fd7d-8497-a280-b4e004595688</t>
  </si>
  <si>
    <t>Fuel-consuming products- Petrol</t>
  </si>
  <si>
    <t>Fuel-consuming products- Diesel</t>
  </si>
  <si>
    <t>per 1 million NPR</t>
  </si>
  <si>
    <t>m2</t>
  </si>
  <si>
    <t>kVA</t>
  </si>
  <si>
    <t>Packaging disposal- Paper</t>
  </si>
  <si>
    <t>Packaging disposal- Plastic</t>
  </si>
  <si>
    <t>wastewater</t>
  </si>
  <si>
    <t>0.5-1.5 kg/cum</t>
  </si>
  <si>
    <t>IPCC: CH₄ Emissions=(TOW×EF)−R ;   Typical methane correction factors lead to: 0.1–0.6 kg CH₄/kg BOD &amp; 1 kg CH4~ 17 kg CO2 &amp; BOD is usually 100-300 mg/L</t>
  </si>
  <si>
    <t>Waste → Landfill Emission Factor Calculator (IPCC default method, proxy for Nepal/India)</t>
  </si>
  <si>
    <t>Global Parameters (editable inputs in blue)</t>
  </si>
  <si>
    <t>Parameter</t>
  </si>
  <si>
    <t>Value</t>
  </si>
  <si>
    <t>Notes</t>
  </si>
  <si>
    <t>Units</t>
  </si>
  <si>
    <t>DOCf (fraction of DOC that decomposes)</t>
  </si>
  <si>
    <t>IPCC default</t>
  </si>
  <si>
    <t>Dimensionless</t>
  </si>
  <si>
    <t>F (fraction of CH₄ in landfill gas)</t>
  </si>
  <si>
    <t>MCF (methane correction factor)</t>
  </si>
  <si>
    <t>Unmanaged deep landfill default</t>
  </si>
  <si>
    <t>OX (oxidation factor)</t>
  </si>
  <si>
    <t>IPCC default (no oxidation)</t>
  </si>
  <si>
    <t>R (methane recovery fraction)</t>
  </si>
  <si>
    <t>Assume no recovery unless known</t>
  </si>
  <si>
    <t>GWP100 for CH₄</t>
  </si>
  <si>
    <t>IPCC AR6 (100-year)</t>
  </si>
  <si>
    <t>kg CO₂e / kg CH₄</t>
  </si>
  <si>
    <t>Clinical waste (medical waste) defaults (editable)</t>
  </si>
  <si>
    <t>DOC_clinical (wet basis)</t>
  </si>
  <si>
    <t>IPCC default clinical waste DOC (wet basis)</t>
  </si>
  <si>
    <t>t C / t waste (fraction)</t>
  </si>
  <si>
    <t>Sources sheet includes plain-text URLs and table references.</t>
  </si>
  <si>
    <t>General waste composition (proxy: South-Central Asia) and DOC calculation</t>
  </si>
  <si>
    <t>Component</t>
  </si>
  <si>
    <t>Share (wet %)</t>
  </si>
  <si>
    <t>Share (fraction)</t>
  </si>
  <si>
    <t>DOC (% of wet waste)</t>
  </si>
  <si>
    <t>DOC contribution (fraction)</t>
  </si>
  <si>
    <t>Food waste</t>
  </si>
  <si>
    <t>DOC for others is 0, so other composition is not considered.</t>
  </si>
  <si>
    <t>Paper</t>
  </si>
  <si>
    <t>Wood</t>
  </si>
  <si>
    <r>
      <t xml:space="preserve">IPCC assumption: plastics are fossil-based → </t>
    </r>
    <r>
      <rPr>
        <b/>
        <sz val="11"/>
        <color theme="1"/>
        <rFont val="Calibri"/>
        <family val="2"/>
        <scheme val="minor"/>
      </rPr>
      <t>no biodegradable carbon</t>
    </r>
    <r>
      <rPr>
        <sz val="11"/>
        <color theme="1"/>
        <rFont val="Calibri"/>
        <family val="2"/>
        <scheme val="minor"/>
      </rPr>
      <t xml:space="preserve">, so </t>
    </r>
    <r>
      <rPr>
        <b/>
        <sz val="11"/>
        <color theme="1"/>
        <rFont val="Calibri"/>
        <family val="2"/>
        <scheme val="minor"/>
      </rPr>
      <t>no CH₄ from landfill</t>
    </r>
  </si>
  <si>
    <t>Textiles</t>
  </si>
  <si>
    <t>Total DOC (fraction)</t>
  </si>
  <si>
    <t>Edit blue cells (Share % and DOC%) to reflect your local waste composition if available.</t>
  </si>
  <si>
    <t>General waste → Landfill (IPCC default method; proxy for Nepal)</t>
  </si>
  <si>
    <t>Inputs (linked from Inputs sheet)</t>
  </si>
  <si>
    <t>Item</t>
  </si>
  <si>
    <t/>
  </si>
  <si>
    <t>DOC (fraction)</t>
  </si>
  <si>
    <t>t C / t waste</t>
  </si>
  <si>
    <t>DOCf</t>
  </si>
  <si>
    <t>fraction</t>
  </si>
  <si>
    <t>MCF</t>
  </si>
  <si>
    <t>F</t>
  </si>
  <si>
    <t>OX</t>
  </si>
  <si>
    <t>R (recovery)</t>
  </si>
  <si>
    <t>GWP100 CH₄</t>
  </si>
  <si>
    <t>kg CO₂e/kg CH₄</t>
  </si>
  <si>
    <t>Molecular ratio 16/12</t>
  </si>
  <si>
    <t>dimensionless</t>
  </si>
  <si>
    <t>Calculations</t>
  </si>
  <si>
    <t>CH₄ generated (tCH₄ per t waste)</t>
  </si>
  <si>
    <t>tCH₄/t</t>
  </si>
  <si>
    <t>CH₄ net after recovery &amp; oxidation (tCH₄/t)</t>
  </si>
  <si>
    <t>CH₄ net (kgCH₄ per t waste)</t>
  </si>
  <si>
    <t>kgCH₄/t</t>
  </si>
  <si>
    <t>Emission factor (kgCO₂e per t waste)</t>
  </si>
  <si>
    <t>kgCO₂e/t</t>
  </si>
  <si>
    <t>Emission factor (tCO₂e per t waste)</t>
  </si>
  <si>
    <t>tCO₂e/t</t>
  </si>
  <si>
    <t>Waste quantity (tonnes)</t>
  </si>
  <si>
    <t>t</t>
  </si>
  <si>
    <t>Total emissions (tCO₂e)</t>
  </si>
  <si>
    <t>Sources (plain-text URLs; key tables referenced)</t>
  </si>
  <si>
    <t>Source</t>
  </si>
  <si>
    <t>URL</t>
  </si>
  <si>
    <t>What used in this workbook</t>
  </si>
  <si>
    <t>Where referenced</t>
  </si>
  <si>
    <t>IPCC 2006 Guidelines – Volume 5 (Waste) – Chapter 2 (Solid Waste Disposal)</t>
  </si>
  <si>
    <t>https://www.ipcc-nggip.iges.or.jp/public/2006gl/vol5.html</t>
  </si>
  <si>
    <t>DOC defaults, waste composition proxies, landfill parameters (DOC, DOCf, MCF, F, OX); clinical waste DOC.</t>
  </si>
  <si>
    <t>Inputs; MSW_Composition; General_Landfill; Clinical_Landfill</t>
  </si>
  <si>
    <t>IPCC 2006 Guidelines – Volume 5 – Chapter 2 PDF (for tables)</t>
  </si>
  <si>
    <t>https://www.ipcc-nggip.iges.or.jp/public/2006gl/pdf/5_Volume5/V5_2_Ch2_SWDS.pdf</t>
  </si>
  <si>
    <t>Tables: 2.3 (regional MSW composition), 2.4 (DOC% wet), 2.6 (clinical waste defaults), landfill parameters.</t>
  </si>
  <si>
    <t>MSW_Composition; Clinical_Landfill</t>
  </si>
  <si>
    <t>IPCC AR6 WGI Full Report (for CH4 GWP100)</t>
  </si>
  <si>
    <t>https://www.ipcc.ch/report/ar6/wg1/downloads/report/IPCC_AR6_WGI_Full_Report.pdf</t>
  </si>
  <si>
    <t>CH4 GWP100 (AR6) used as default in Inputs sheet (editable).</t>
  </si>
  <si>
    <t>Inputs</t>
  </si>
  <si>
    <t>Clinical/medical waste → Landfill (IPCC clinical waste DOC default)</t>
  </si>
  <si>
    <t>Clinical and medical waste</t>
  </si>
  <si>
    <t>Refer to solid waste sheet</t>
  </si>
  <si>
    <t>1.08 kg CO2e/kg</t>
  </si>
  <si>
    <t>https://www.climatiq.io/data/emission-factor/712e8443-99b4-8468-b210-c5004c2367f0</t>
  </si>
  <si>
    <t>kgCO₂e/1000 NPR</t>
  </si>
  <si>
    <t xml:space="preserve">IPCC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</si>
</sst>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000"/>
    <numFmt numFmtId="167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onsolas"/>
      <family val="3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00FF"/>
      <name val="Calibri"/>
    </font>
    <font>
      <i/>
      <sz val="11"/>
      <color rgb="FF595959"/>
      <name val="Calibri"/>
    </font>
    <font>
      <sz val="11"/>
      <color theme="1"/>
      <name val="Calibri"/>
    </font>
    <font>
      <sz val="11"/>
      <color theme="1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4E79"/>
      </patternFill>
    </fill>
    <fill>
      <patternFill patternType="solid">
        <fgColor rgb="FFD9E1F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1" fillId="0" borderId="0"/>
    <xf numFmtId="0" fontId="12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/>
    <xf numFmtId="0" fontId="0" fillId="4" borderId="0" xfId="0" applyFill="1"/>
    <xf numFmtId="0" fontId="0" fillId="3" borderId="2" xfId="0" applyFill="1" applyBorder="1" applyAlignment="1">
      <alignment vertical="center" wrapText="1"/>
    </xf>
    <xf numFmtId="0" fontId="0" fillId="3" borderId="0" xfId="0" applyFill="1"/>
    <xf numFmtId="0" fontId="2" fillId="0" borderId="0" xfId="1"/>
    <xf numFmtId="2" fontId="0" fillId="0" borderId="0" xfId="0" applyNumberFormat="1"/>
    <xf numFmtId="0" fontId="2" fillId="0" borderId="0" xfId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6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9" fillId="0" borderId="3" xfId="0" applyFont="1" applyBorder="1" applyAlignment="1">
      <alignment horizontal="right" vertical="center"/>
    </xf>
    <xf numFmtId="0" fontId="0" fillId="0" borderId="3" xfId="0" applyBorder="1" applyAlignment="1">
      <alignment vertical="top" wrapText="1"/>
    </xf>
    <xf numFmtId="164" fontId="9" fillId="0" borderId="3" xfId="0" applyNumberFormat="1" applyFont="1" applyBorder="1" applyAlignment="1">
      <alignment horizontal="right" vertical="center"/>
    </xf>
    <xf numFmtId="165" fontId="0" fillId="0" borderId="3" xfId="0" applyNumberFormat="1" applyBorder="1" applyAlignment="1">
      <alignment horizontal="right" vertical="center"/>
    </xf>
    <xf numFmtId="10" fontId="9" fillId="0" borderId="3" xfId="0" applyNumberFormat="1" applyFont="1" applyBorder="1" applyAlignment="1">
      <alignment horizontal="right" vertical="center"/>
    </xf>
    <xf numFmtId="164" fontId="0" fillId="0" borderId="0" xfId="0" applyNumberFormat="1"/>
    <xf numFmtId="49" fontId="7" fillId="0" borderId="3" xfId="0" applyNumberFormat="1" applyFont="1" applyBorder="1" applyAlignment="1">
      <alignment horizontal="right" vertical="center"/>
    </xf>
    <xf numFmtId="165" fontId="7" fillId="0" borderId="3" xfId="0" applyNumberFormat="1" applyFont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166" fontId="0" fillId="0" borderId="3" xfId="0" applyNumberFormat="1" applyBorder="1" applyAlignment="1">
      <alignment horizontal="right" vertical="center"/>
    </xf>
    <xf numFmtId="2" fontId="0" fillId="0" borderId="3" xfId="0" applyNumberFormat="1" applyBorder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0" fontId="7" fillId="0" borderId="3" xfId="0" applyFont="1" applyBorder="1" applyAlignment="1">
      <alignment horizontal="left" vertical="center"/>
    </xf>
    <xf numFmtId="167" fontId="7" fillId="0" borderId="3" xfId="0" applyNumberFormat="1" applyFont="1" applyBorder="1" applyAlignment="1">
      <alignment horizontal="right" vertical="center"/>
    </xf>
    <xf numFmtId="2" fontId="9" fillId="0" borderId="3" xfId="0" applyNumberFormat="1" applyFont="1" applyBorder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0" fillId="0" borderId="0" xfId="0"/>
    <xf numFmtId="0" fontId="6" fillId="6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</cellXfs>
  <cellStyles count="4">
    <cellStyle name="Hyperlink" xfId="1" builtinId="8"/>
    <cellStyle name="Hyperlink 2" xfId="3" xr:uid="{3F5A891A-3F92-4980-B76C-26C6F9BBF799}"/>
    <cellStyle name="Normal" xfId="0" builtinId="0"/>
    <cellStyle name="Normal 2" xfId="2" xr:uid="{A4C521AC-7A33-4FEB-9A84-E9ED3F4D66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lma/Assignment_I/Waste_Landfill_Factors_IPCC_Proxy.xlsx" TargetMode="External"/><Relationship Id="rId2" Type="http://schemas.openxmlformats.org/officeDocument/2006/relationships/externalLinkPath" Target="file:///D:\Personal\Dolma\Assignment_I\Waste_Landfill_Factors_IPCC_Proxy.xlsx" TargetMode="External"/><Relationship Id="rId1" Type="http://schemas.openxmlformats.org/officeDocument/2006/relationships/externalLinkPath" Target="/Personal/Dolma/Assignment_I/Waste_Landfill_Factors_IPCC_Prox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puts"/>
      <sheetName val="MSW_Composition"/>
      <sheetName val="General_Landfill"/>
      <sheetName val="Clinical_Landfill"/>
      <sheetName val="Sources"/>
      <sheetName val="README"/>
    </sheetNames>
    <sheetDataSet>
      <sheetData sheetId="0">
        <row r="5">
          <cell r="B5">
            <v>0.5</v>
          </cell>
        </row>
        <row r="6">
          <cell r="B6">
            <v>0.5</v>
          </cell>
        </row>
        <row r="7">
          <cell r="B7">
            <v>0.8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27</v>
          </cell>
        </row>
        <row r="13">
          <cell r="B13">
            <v>0.15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limatiq.io/data/emission-factor/c328b60a-dd3a-4d41-9909-66adaf4f7661?utm_source=chatgpt.com" TargetMode="External"/><Relationship Id="rId3" Type="http://schemas.openxmlformats.org/officeDocument/2006/relationships/hyperlink" Target="https://www.climatiq.io/data/emission-factor/c328b60a-dd3a-4d41-9909-66adaf4f7661?utm_source=chatgpt.com" TargetMode="External"/><Relationship Id="rId7" Type="http://schemas.openxmlformats.org/officeDocument/2006/relationships/hyperlink" Target="https://www.climatiq.io/data/emission-factor/2816f9c7-2b0e-4386-af79-94cef2b83fab?utm_source=chatgpt.com" TargetMode="External"/><Relationship Id="rId2" Type="http://schemas.openxmlformats.org/officeDocument/2006/relationships/hyperlink" Target="https://www.climatiq.io/data/emission-factor/2816f9c7-2b0e-4386-af79-94cef2b83fab?utm_source=chatgpt.com" TargetMode="External"/><Relationship Id="rId1" Type="http://schemas.openxmlformats.org/officeDocument/2006/relationships/hyperlink" Target="https://apps.carboncloud.com/climatehub/product-reports/id/122561696701" TargetMode="External"/><Relationship Id="rId6" Type="http://schemas.openxmlformats.org/officeDocument/2006/relationships/hyperlink" Target="https://www.climatiq.io/data/emission-factor/b1af3a94-ca4d-4981-bab9-812ed69122d7?utm_source=chatgpt.com" TargetMode="External"/><Relationship Id="rId11" Type="http://schemas.openxmlformats.org/officeDocument/2006/relationships/hyperlink" Target="https://www.climatiq.io/data/emission-factor/b1af3a94-ca4d-4981-bab9-812ed69122d7?utm_source=chatgpt.com" TargetMode="External"/><Relationship Id="rId5" Type="http://schemas.openxmlformats.org/officeDocument/2006/relationships/hyperlink" Target="https://www.climatiq.io/data/emission-factor/897618ee-98ce-42ef-a122-aa79220f2824?utm_source=chatgpt.com" TargetMode="External"/><Relationship Id="rId10" Type="http://schemas.openxmlformats.org/officeDocument/2006/relationships/hyperlink" Target="https://www.climatiq.io/data/emission-factor/897618ee-98ce-42ef-a122-aa79220f2824?utm_source=chatgpt.com" TargetMode="External"/><Relationship Id="rId4" Type="http://schemas.openxmlformats.org/officeDocument/2006/relationships/hyperlink" Target="https://www.climatiq.io/data/emission-factor/02c9de96-6135-44d4-854b-c763068247b3?utm_source=chatgpt.com" TargetMode="External"/><Relationship Id="rId9" Type="http://schemas.openxmlformats.org/officeDocument/2006/relationships/hyperlink" Target="https://www.climatiq.io/data/emission-factor/02c9de96-6135-44d4-854b-c763068247b3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85EBB-3F70-4037-B0E4-2559916F6019}">
  <dimension ref="A1:J45"/>
  <sheetViews>
    <sheetView tabSelected="1" workbookViewId="0">
      <selection activeCell="F9" sqref="F9"/>
    </sheetView>
  </sheetViews>
  <sheetFormatPr defaultRowHeight="15" x14ac:dyDescent="0.25"/>
  <cols>
    <col min="1" max="2" width="35.5703125" style="11" customWidth="1"/>
    <col min="3" max="3" width="15.140625" style="11" customWidth="1"/>
    <col min="4" max="4" width="43.140625" customWidth="1"/>
    <col min="5" max="5" width="25.7109375" style="11" customWidth="1"/>
    <col min="6" max="6" width="37.7109375" customWidth="1"/>
    <col min="7" max="7" width="33.140625" customWidth="1"/>
    <col min="8" max="8" width="64" customWidth="1"/>
    <col min="9" max="9" width="46" customWidth="1"/>
  </cols>
  <sheetData>
    <row r="1" spans="1:9" x14ac:dyDescent="0.25">
      <c r="A1" s="2" t="s">
        <v>34</v>
      </c>
      <c r="B1" s="2"/>
      <c r="C1" s="2" t="s">
        <v>35</v>
      </c>
      <c r="D1" s="3" t="s">
        <v>33</v>
      </c>
      <c r="E1" s="2" t="s">
        <v>36</v>
      </c>
      <c r="F1" s="4"/>
    </row>
    <row r="2" spans="1:9" x14ac:dyDescent="0.25">
      <c r="A2" s="5" t="s">
        <v>37</v>
      </c>
      <c r="B2" s="5"/>
      <c r="C2" s="5" t="s">
        <v>38</v>
      </c>
      <c r="D2" s="6">
        <v>2.65</v>
      </c>
      <c r="E2" s="7" t="s">
        <v>39</v>
      </c>
      <c r="F2" s="41" t="s">
        <v>221</v>
      </c>
    </row>
    <row r="3" spans="1:9" x14ac:dyDescent="0.25">
      <c r="A3" s="5" t="s">
        <v>40</v>
      </c>
      <c r="B3" s="5"/>
      <c r="C3" s="5"/>
      <c r="D3" s="6">
        <v>2.31</v>
      </c>
      <c r="E3" s="7" t="s">
        <v>78</v>
      </c>
      <c r="F3" s="42"/>
    </row>
    <row r="4" spans="1:9" x14ac:dyDescent="0.25">
      <c r="A4" s="5" t="s">
        <v>41</v>
      </c>
      <c r="B4" s="5"/>
      <c r="C4" s="5" t="s">
        <v>38</v>
      </c>
      <c r="D4" s="6">
        <v>2.65</v>
      </c>
      <c r="E4" s="7" t="s">
        <v>39</v>
      </c>
      <c r="F4" s="42"/>
    </row>
    <row r="5" spans="1:9" x14ac:dyDescent="0.25">
      <c r="A5" s="5" t="s">
        <v>0</v>
      </c>
      <c r="B5" s="5"/>
      <c r="C5" s="5" t="s">
        <v>42</v>
      </c>
      <c r="D5" s="6">
        <v>1.51</v>
      </c>
      <c r="E5" s="5" t="s">
        <v>43</v>
      </c>
      <c r="F5" s="42"/>
    </row>
    <row r="6" spans="1:9" x14ac:dyDescent="0.25">
      <c r="A6" s="1" t="s">
        <v>3</v>
      </c>
      <c r="B6" s="1"/>
      <c r="C6" s="5" t="s">
        <v>38</v>
      </c>
      <c r="D6" s="6">
        <v>2.31</v>
      </c>
      <c r="E6" s="7" t="s">
        <v>78</v>
      </c>
      <c r="F6" s="42"/>
    </row>
    <row r="7" spans="1:9" x14ac:dyDescent="0.25">
      <c r="A7" s="5" t="s">
        <v>4</v>
      </c>
      <c r="B7" s="5"/>
      <c r="C7" s="5" t="s">
        <v>38</v>
      </c>
      <c r="D7" s="6">
        <v>2.65</v>
      </c>
      <c r="E7" s="7" t="s">
        <v>39</v>
      </c>
      <c r="F7" s="42"/>
    </row>
    <row r="8" spans="1:9" x14ac:dyDescent="0.25">
      <c r="A8" s="1" t="s">
        <v>75</v>
      </c>
      <c r="B8" s="1"/>
      <c r="C8" s="5" t="s">
        <v>38</v>
      </c>
      <c r="D8" s="6">
        <v>2.65</v>
      </c>
      <c r="E8" s="7" t="s">
        <v>39</v>
      </c>
      <c r="F8" s="43"/>
    </row>
    <row r="9" spans="1:9" x14ac:dyDescent="0.25">
      <c r="A9" s="1" t="s">
        <v>5</v>
      </c>
      <c r="B9" s="1"/>
      <c r="C9" s="5" t="s">
        <v>44</v>
      </c>
      <c r="D9" s="6">
        <v>1430</v>
      </c>
      <c r="E9" s="5" t="s">
        <v>45</v>
      </c>
      <c r="F9" s="4" t="s">
        <v>46</v>
      </c>
    </row>
    <row r="10" spans="1:9" x14ac:dyDescent="0.25">
      <c r="A10" s="1" t="s">
        <v>6</v>
      </c>
      <c r="B10" s="1"/>
      <c r="C10" s="5" t="s">
        <v>44</v>
      </c>
      <c r="D10" s="6">
        <v>3920</v>
      </c>
      <c r="E10" s="5" t="s">
        <v>47</v>
      </c>
      <c r="F10" s="4" t="s">
        <v>46</v>
      </c>
    </row>
    <row r="11" spans="1:9" ht="45" x14ac:dyDescent="0.25">
      <c r="A11" s="5" t="s">
        <v>48</v>
      </c>
      <c r="B11" s="5"/>
      <c r="C11" s="5" t="s">
        <v>49</v>
      </c>
      <c r="D11" s="6">
        <v>0.23</v>
      </c>
      <c r="E11" s="7" t="s">
        <v>50</v>
      </c>
      <c r="F11" s="8" t="s">
        <v>51</v>
      </c>
    </row>
    <row r="12" spans="1:9" ht="90" x14ac:dyDescent="0.25">
      <c r="A12" s="5" t="s">
        <v>13</v>
      </c>
      <c r="B12" s="5"/>
      <c r="C12" s="5" t="s">
        <v>52</v>
      </c>
      <c r="D12" s="6">
        <v>2439.5300000000002</v>
      </c>
      <c r="E12" s="5" t="s">
        <v>53</v>
      </c>
      <c r="F12" s="9" t="s">
        <v>54</v>
      </c>
      <c r="I12" t="s">
        <v>76</v>
      </c>
    </row>
    <row r="13" spans="1:9" ht="30" x14ac:dyDescent="0.25">
      <c r="A13" s="5" t="s">
        <v>55</v>
      </c>
      <c r="B13" s="5"/>
      <c r="C13" s="5"/>
      <c r="D13" s="6">
        <v>1720</v>
      </c>
      <c r="E13" s="7" t="s">
        <v>56</v>
      </c>
      <c r="F13" s="4"/>
    </row>
    <row r="14" spans="1:9" ht="30" x14ac:dyDescent="0.25">
      <c r="A14" s="5" t="s">
        <v>57</v>
      </c>
      <c r="B14" s="5"/>
      <c r="C14" s="5" t="s">
        <v>44</v>
      </c>
      <c r="D14" s="6">
        <f>'Solid waste'!B55</f>
        <v>0.82663199999999992</v>
      </c>
      <c r="E14" s="7" t="s">
        <v>58</v>
      </c>
      <c r="F14" s="8" t="s">
        <v>217</v>
      </c>
    </row>
    <row r="15" spans="1:9" x14ac:dyDescent="0.25">
      <c r="A15" s="5" t="s">
        <v>216</v>
      </c>
      <c r="B15" s="5"/>
      <c r="C15" s="5" t="s">
        <v>44</v>
      </c>
      <c r="D15" s="6">
        <f>'Solid waste'!J55</f>
        <v>1.0799999999999998</v>
      </c>
      <c r="E15" s="7" t="s">
        <v>218</v>
      </c>
      <c r="F15" s="8" t="s">
        <v>217</v>
      </c>
    </row>
    <row r="16" spans="1:9" ht="60" x14ac:dyDescent="0.25">
      <c r="A16" s="5" t="s">
        <v>128</v>
      </c>
      <c r="B16" s="5"/>
      <c r="C16" s="5" t="s">
        <v>44</v>
      </c>
      <c r="D16" s="6">
        <v>1</v>
      </c>
      <c r="E16" s="7" t="s">
        <v>129</v>
      </c>
      <c r="F16" s="8" t="s">
        <v>130</v>
      </c>
    </row>
    <row r="17" spans="1:10" ht="45" x14ac:dyDescent="0.25">
      <c r="A17" s="5" t="s">
        <v>59</v>
      </c>
      <c r="B17" s="5"/>
      <c r="C17" s="5" t="s">
        <v>60</v>
      </c>
      <c r="D17" s="7">
        <v>6.6000000000000003E-2</v>
      </c>
      <c r="E17" s="7" t="s">
        <v>61</v>
      </c>
      <c r="F17" s="8" t="s">
        <v>62</v>
      </c>
      <c r="G17" s="10">
        <f>2.31/35</f>
        <v>6.6000000000000003E-2</v>
      </c>
    </row>
    <row r="18" spans="1:10" x14ac:dyDescent="0.25">
      <c r="A18" s="5" t="s">
        <v>63</v>
      </c>
      <c r="B18" s="5"/>
      <c r="C18" s="5" t="s">
        <v>64</v>
      </c>
      <c r="D18" s="7">
        <v>0.19</v>
      </c>
      <c r="E18" s="7" t="s">
        <v>65</v>
      </c>
      <c r="F18" s="8" t="s">
        <v>66</v>
      </c>
      <c r="G18" s="10">
        <f>2.31/12</f>
        <v>0.1925</v>
      </c>
    </row>
    <row r="19" spans="1:10" ht="30" x14ac:dyDescent="0.25">
      <c r="A19" s="5" t="s">
        <v>67</v>
      </c>
      <c r="B19" s="5"/>
      <c r="C19" s="5" t="s">
        <v>64</v>
      </c>
      <c r="D19" s="7">
        <v>1.6E-2</v>
      </c>
      <c r="E19" s="7" t="s">
        <v>68</v>
      </c>
      <c r="F19" s="8" t="s">
        <v>69</v>
      </c>
      <c r="G19" s="10">
        <f>2.65/160</f>
        <v>1.6562500000000001E-2</v>
      </c>
    </row>
    <row r="20" spans="1:10" x14ac:dyDescent="0.25">
      <c r="A20" s="5" t="s">
        <v>22</v>
      </c>
      <c r="B20" s="5"/>
      <c r="C20" s="5" t="s">
        <v>64</v>
      </c>
      <c r="D20" s="6">
        <v>0.24587000000000001</v>
      </c>
      <c r="E20" s="5" t="s">
        <v>70</v>
      </c>
      <c r="F20" s="4" t="s">
        <v>71</v>
      </c>
    </row>
    <row r="21" spans="1:10" x14ac:dyDescent="0.25">
      <c r="A21" s="5" t="s">
        <v>23</v>
      </c>
      <c r="B21" s="5"/>
      <c r="C21" s="5" t="s">
        <v>64</v>
      </c>
      <c r="D21" s="6">
        <v>0.14787</v>
      </c>
      <c r="E21" s="5" t="s">
        <v>106</v>
      </c>
      <c r="F21" s="4" t="s">
        <v>105</v>
      </c>
    </row>
    <row r="22" spans="1:10" x14ac:dyDescent="0.25">
      <c r="A22" s="19" t="s">
        <v>24</v>
      </c>
      <c r="B22" s="19" t="s">
        <v>25</v>
      </c>
      <c r="C22" s="19" t="s">
        <v>119</v>
      </c>
      <c r="D22" s="6">
        <f>0.2367*1000/154</f>
        <v>1.5370129870129869</v>
      </c>
      <c r="E22" s="19" t="s">
        <v>118</v>
      </c>
      <c r="F22" t="s">
        <v>120</v>
      </c>
    </row>
    <row r="23" spans="1:10" ht="30" x14ac:dyDescent="0.25">
      <c r="A23" s="5" t="s">
        <v>72</v>
      </c>
      <c r="B23" s="5"/>
      <c r="C23" s="5" t="s">
        <v>64</v>
      </c>
      <c r="D23" s="6">
        <v>0.27500000000000002</v>
      </c>
      <c r="E23" s="5" t="s">
        <v>73</v>
      </c>
      <c r="F23" s="4" t="s">
        <v>74</v>
      </c>
    </row>
    <row r="24" spans="1:10" x14ac:dyDescent="0.25">
      <c r="A24" s="5" t="s">
        <v>117</v>
      </c>
      <c r="B24" s="5"/>
      <c r="C24" s="5" t="s">
        <v>64</v>
      </c>
      <c r="D24" s="6">
        <v>0.27500000000000002</v>
      </c>
      <c r="E24" s="5" t="s">
        <v>73</v>
      </c>
      <c r="F24" s="4" t="s">
        <v>74</v>
      </c>
    </row>
    <row r="25" spans="1:10" ht="45" x14ac:dyDescent="0.25">
      <c r="A25" s="1" t="s">
        <v>8</v>
      </c>
      <c r="B25" s="1"/>
      <c r="C25" s="11" t="s">
        <v>38</v>
      </c>
      <c r="D25" s="13">
        <v>23350</v>
      </c>
      <c r="E25" s="11" t="s">
        <v>83</v>
      </c>
      <c r="F25" s="10" t="s">
        <v>79</v>
      </c>
      <c r="G25" s="10" t="s">
        <v>80</v>
      </c>
      <c r="H25" s="14" t="s">
        <v>81</v>
      </c>
      <c r="I25" s="10" t="s">
        <v>82</v>
      </c>
      <c r="J25" s="10">
        <f>1401/1.5</f>
        <v>934</v>
      </c>
    </row>
    <row r="26" spans="1:10" x14ac:dyDescent="0.25">
      <c r="A26" s="1" t="s">
        <v>11</v>
      </c>
      <c r="B26" s="1" t="s">
        <v>95</v>
      </c>
      <c r="C26" s="11" t="s">
        <v>44</v>
      </c>
      <c r="D26" s="13">
        <v>0.61</v>
      </c>
      <c r="E26" s="11" t="s">
        <v>85</v>
      </c>
      <c r="F26" s="15" t="s">
        <v>84</v>
      </c>
      <c r="H26" t="s">
        <v>86</v>
      </c>
    </row>
    <row r="27" spans="1:10" ht="45" x14ac:dyDescent="0.25">
      <c r="A27" s="1" t="s">
        <v>12</v>
      </c>
      <c r="B27" s="1" t="s">
        <v>90</v>
      </c>
      <c r="C27" s="11" t="s">
        <v>123</v>
      </c>
      <c r="D27" s="16">
        <v>4486.1589029839251</v>
      </c>
      <c r="E27" s="11" t="s">
        <v>96</v>
      </c>
      <c r="F27" s="17" t="s">
        <v>97</v>
      </c>
      <c r="G27" s="40">
        <v>0.87350000000000005</v>
      </c>
      <c r="H27" s="17" t="s">
        <v>97</v>
      </c>
      <c r="I27" s="16">
        <f>G27/194.71*1000000</f>
        <v>4486.1589029839251</v>
      </c>
    </row>
    <row r="28" spans="1:10" ht="60" x14ac:dyDescent="0.25">
      <c r="A28" s="1" t="s">
        <v>87</v>
      </c>
      <c r="B28" s="1" t="s">
        <v>91</v>
      </c>
      <c r="C28" s="11" t="s">
        <v>123</v>
      </c>
      <c r="D28" s="16">
        <v>1221.303476965744</v>
      </c>
      <c r="E28" s="11" t="s">
        <v>96</v>
      </c>
      <c r="F28" s="17" t="s">
        <v>98</v>
      </c>
      <c r="G28" s="40">
        <v>0.23780000000000001</v>
      </c>
      <c r="H28" s="17" t="s">
        <v>98</v>
      </c>
      <c r="I28" s="16">
        <f t="shared" ref="I28:I29" si="0">G28/194.71*1000000</f>
        <v>1221.303476965744</v>
      </c>
    </row>
    <row r="29" spans="1:10" ht="45" x14ac:dyDescent="0.25">
      <c r="A29" s="1" t="s">
        <v>88</v>
      </c>
      <c r="B29" s="1" t="s">
        <v>92</v>
      </c>
      <c r="C29" s="11" t="s">
        <v>123</v>
      </c>
      <c r="D29" s="16">
        <v>5111.1910020029791</v>
      </c>
      <c r="E29" s="11" t="s">
        <v>96</v>
      </c>
      <c r="F29" s="17" t="s">
        <v>99</v>
      </c>
      <c r="G29" s="40">
        <v>0.99519999999999997</v>
      </c>
      <c r="H29" s="17" t="s">
        <v>99</v>
      </c>
      <c r="I29" s="16">
        <f t="shared" si="0"/>
        <v>5111.1910020029791</v>
      </c>
    </row>
    <row r="30" spans="1:10" ht="45" x14ac:dyDescent="0.25">
      <c r="A30" s="1" t="s">
        <v>89</v>
      </c>
      <c r="B30" s="1" t="s">
        <v>93</v>
      </c>
      <c r="C30" s="11" t="s">
        <v>123</v>
      </c>
      <c r="D30" s="16">
        <v>2439.5254481023057</v>
      </c>
      <c r="E30" s="11" t="s">
        <v>96</v>
      </c>
      <c r="F30" s="17" t="s">
        <v>100</v>
      </c>
      <c r="G30" s="40">
        <v>0.47499999999999998</v>
      </c>
      <c r="H30" s="17" t="s">
        <v>100</v>
      </c>
      <c r="I30" s="16">
        <f>G30/194.71*1000000</f>
        <v>2439.5254481023057</v>
      </c>
    </row>
    <row r="31" spans="1:10" ht="45" x14ac:dyDescent="0.25">
      <c r="A31" s="1" t="s">
        <v>55</v>
      </c>
      <c r="B31" s="1" t="s">
        <v>94</v>
      </c>
      <c r="C31" s="11" t="s">
        <v>123</v>
      </c>
      <c r="D31" s="16">
        <v>1725.6432643418418</v>
      </c>
      <c r="E31" s="11" t="s">
        <v>96</v>
      </c>
      <c r="F31" s="17" t="s">
        <v>101</v>
      </c>
      <c r="G31" s="40">
        <v>0.33600000000000002</v>
      </c>
      <c r="H31" s="17" t="s">
        <v>101</v>
      </c>
      <c r="I31" s="16">
        <f t="shared" ref="I31:I32" si="1">G31/194.71*1000000</f>
        <v>1725.6432643418418</v>
      </c>
    </row>
    <row r="32" spans="1:10" x14ac:dyDescent="0.25">
      <c r="A32" s="11" t="s">
        <v>21</v>
      </c>
      <c r="C32" s="11" t="s">
        <v>123</v>
      </c>
      <c r="D32" s="16">
        <f>0.776*1000000/150</f>
        <v>5173.333333333333</v>
      </c>
      <c r="E32" s="11" t="s">
        <v>104</v>
      </c>
      <c r="F32" t="s">
        <v>103</v>
      </c>
      <c r="G32" s="40">
        <v>0.77600000000000002</v>
      </c>
      <c r="I32" s="16">
        <f t="shared" si="1"/>
        <v>3985.4142057418726</v>
      </c>
    </row>
    <row r="33" spans="1:9" x14ac:dyDescent="0.25">
      <c r="A33" s="19" t="s">
        <v>15</v>
      </c>
      <c r="B33" s="19" t="s">
        <v>15</v>
      </c>
      <c r="C33" s="11" t="s">
        <v>124</v>
      </c>
      <c r="D33">
        <v>433.12</v>
      </c>
      <c r="E33" s="11" t="s">
        <v>108</v>
      </c>
      <c r="F33" t="s">
        <v>107</v>
      </c>
    </row>
    <row r="34" spans="1:9" x14ac:dyDescent="0.25">
      <c r="A34" s="19" t="s">
        <v>16</v>
      </c>
      <c r="B34" s="19" t="s">
        <v>16</v>
      </c>
      <c r="C34" s="11" t="s">
        <v>123</v>
      </c>
      <c r="D34" s="20">
        <f>0.5456*1000000/194.71</f>
        <v>2802.115967336038</v>
      </c>
      <c r="E34" s="11" t="s">
        <v>104</v>
      </c>
      <c r="F34" t="s">
        <v>109</v>
      </c>
      <c r="G34" s="40">
        <v>0.54559999999999997</v>
      </c>
    </row>
    <row r="35" spans="1:9" x14ac:dyDescent="0.25">
      <c r="A35" s="19" t="s">
        <v>17</v>
      </c>
      <c r="B35" s="19" t="s">
        <v>17</v>
      </c>
      <c r="C35" s="19" t="s">
        <v>18</v>
      </c>
      <c r="D35" s="21">
        <v>468.72</v>
      </c>
      <c r="E35" s="19" t="s">
        <v>19</v>
      </c>
      <c r="F35" s="21" t="s">
        <v>110</v>
      </c>
    </row>
    <row r="36" spans="1:9" x14ac:dyDescent="0.25">
      <c r="A36" s="19" t="s">
        <v>20</v>
      </c>
      <c r="B36" s="19" t="s">
        <v>20</v>
      </c>
      <c r="C36" s="19" t="s">
        <v>9</v>
      </c>
      <c r="D36">
        <f>1/0.04*2.24</f>
        <v>56.000000000000007</v>
      </c>
      <c r="E36" s="19" t="s">
        <v>10</v>
      </c>
      <c r="F36" t="s">
        <v>111</v>
      </c>
      <c r="G36" s="15" t="s">
        <v>112</v>
      </c>
      <c r="H36" t="s">
        <v>113</v>
      </c>
      <c r="I36" s="15" t="s">
        <v>114</v>
      </c>
    </row>
    <row r="37" spans="1:9" x14ac:dyDescent="0.25">
      <c r="A37" s="19" t="s">
        <v>77</v>
      </c>
      <c r="B37" s="19" t="s">
        <v>77</v>
      </c>
      <c r="C37" s="19" t="s">
        <v>125</v>
      </c>
      <c r="D37" s="22">
        <f>1198/3.68</f>
        <v>325.54347826086956</v>
      </c>
      <c r="E37" s="19" t="s">
        <v>116</v>
      </c>
      <c r="F37" s="22" t="s">
        <v>115</v>
      </c>
    </row>
    <row r="38" spans="1:9" ht="30" x14ac:dyDescent="0.25">
      <c r="A38" s="19" t="s">
        <v>26</v>
      </c>
      <c r="B38" s="19" t="s">
        <v>26</v>
      </c>
      <c r="C38" s="5" t="s">
        <v>49</v>
      </c>
      <c r="D38" s="6">
        <v>0.23</v>
      </c>
      <c r="E38" s="7" t="s">
        <v>50</v>
      </c>
    </row>
    <row r="39" spans="1:9" x14ac:dyDescent="0.25">
      <c r="A39" s="19" t="s">
        <v>122</v>
      </c>
      <c r="B39" s="19" t="s">
        <v>122</v>
      </c>
      <c r="C39" s="5" t="s">
        <v>38</v>
      </c>
      <c r="D39" s="6">
        <v>2.65</v>
      </c>
      <c r="E39" s="7" t="s">
        <v>39</v>
      </c>
    </row>
    <row r="40" spans="1:9" x14ac:dyDescent="0.25">
      <c r="A40" s="19" t="s">
        <v>121</v>
      </c>
      <c r="B40" s="19" t="s">
        <v>121</v>
      </c>
      <c r="C40" s="5" t="s">
        <v>38</v>
      </c>
      <c r="D40" s="6">
        <v>2.31</v>
      </c>
      <c r="E40" s="7" t="s">
        <v>78</v>
      </c>
    </row>
    <row r="41" spans="1:9" ht="15" customHeight="1" x14ac:dyDescent="0.25">
      <c r="A41" s="19" t="s">
        <v>126</v>
      </c>
      <c r="B41" s="19" t="s">
        <v>27</v>
      </c>
      <c r="C41" s="19" t="s">
        <v>1</v>
      </c>
      <c r="D41" s="12"/>
      <c r="E41" s="18" t="s">
        <v>2</v>
      </c>
    </row>
    <row r="42" spans="1:9" ht="15" customHeight="1" x14ac:dyDescent="0.25">
      <c r="A42" s="19" t="s">
        <v>127</v>
      </c>
      <c r="B42" s="19" t="s">
        <v>27</v>
      </c>
      <c r="C42" s="19" t="s">
        <v>1</v>
      </c>
      <c r="D42" s="12"/>
      <c r="E42" s="18" t="s">
        <v>2</v>
      </c>
    </row>
    <row r="43" spans="1:9" x14ac:dyDescent="0.25">
      <c r="A43" s="19" t="s">
        <v>28</v>
      </c>
      <c r="B43" s="19" t="s">
        <v>28</v>
      </c>
      <c r="C43" s="19" t="s">
        <v>29</v>
      </c>
      <c r="D43" s="12"/>
      <c r="E43" s="18" t="s">
        <v>7</v>
      </c>
    </row>
    <row r="44" spans="1:9" x14ac:dyDescent="0.25">
      <c r="A44" s="19" t="s">
        <v>30</v>
      </c>
      <c r="B44" s="19" t="s">
        <v>30</v>
      </c>
      <c r="C44" s="19" t="s">
        <v>31</v>
      </c>
      <c r="D44" s="12"/>
      <c r="E44" s="18" t="s">
        <v>2</v>
      </c>
    </row>
    <row r="45" spans="1:9" x14ac:dyDescent="0.25">
      <c r="A45" s="19" t="s">
        <v>102</v>
      </c>
      <c r="C45" s="11" t="s">
        <v>14</v>
      </c>
      <c r="D45">
        <f>0.261/151*1000</f>
        <v>1.7284768211920529</v>
      </c>
      <c r="E45" s="11" t="s">
        <v>220</v>
      </c>
      <c r="F45" t="s">
        <v>219</v>
      </c>
    </row>
  </sheetData>
  <mergeCells count="1">
    <mergeCell ref="F2:F8"/>
  </mergeCells>
  <hyperlinks>
    <hyperlink ref="F26" r:id="rId1" xr:uid="{7E957FE6-8458-40CD-9E7F-E08EC35BB772}"/>
    <hyperlink ref="F27" r:id="rId2" tooltip="Emission Factor: Rubber and plastic products | Materials and ..." display="https://www.climatiq.io/data/emission-factor/2816f9c7-2b0e-4386-af79-94cef2b83fab?utm_source=chatgpt.com" xr:uid="{99B93781-11A7-4A3B-9441-E8D89389B7E3}"/>
    <hyperlink ref="F28" r:id="rId3" tooltip="Emission Factor: Basic pharmaceutical products and pharmaceutical ..." display="https://www.climatiq.io/data/emission-factor/c328b60a-dd3a-4d41-9909-66adaf4f7661?utm_source=chatgpt.com" xr:uid="{B35859B5-02E8-46E4-9CAC-F3FE2CB1C87D}"/>
    <hyperlink ref="F29" r:id="rId4" tooltip="Emission Factor: Other chemical products | Materials and Manufacturing ..." display="https://www.climatiq.io/data/emission-factor/02c9de96-6135-44d4-854b-c763068247b3?utm_source=chatgpt.com" xr:uid="{DDAA567E-2DAA-48BD-AE53-EED0F4FE6882}"/>
    <hyperlink ref="F30" r:id="rId5" tooltip="Emission Factor: Soap and detergents / cleaning and polishing ..." display="https://www.climatiq.io/data/emission-factor/897618ee-98ce-42ef-a122-aa79220f2824?utm_source=chatgpt.com" xr:uid="{6A4E766C-9FB9-490B-A360-DA417BF1348B}"/>
    <hyperlink ref="F31" r:id="rId6" tooltip="Emission Factor: Computer / electronic and optical products (purchaser ..." display="https://www.climatiq.io/data/emission-factor/b1af3a94-ca4d-4981-bab9-812ed69122d7?utm_source=chatgpt.com" xr:uid="{8A5F10E3-E14F-40C7-B607-954092E073E1}"/>
    <hyperlink ref="H27" r:id="rId7" tooltip="Emission Factor: Rubber and plastic products | Materials and ..." display="https://www.climatiq.io/data/emission-factor/2816f9c7-2b0e-4386-af79-94cef2b83fab?utm_source=chatgpt.com" xr:uid="{BA3B5CEF-49BE-4D61-81FB-8189D76EB8B3}"/>
    <hyperlink ref="H28" r:id="rId8" tooltip="Emission Factor: Basic pharmaceutical products and pharmaceutical ..." display="https://www.climatiq.io/data/emission-factor/c328b60a-dd3a-4d41-9909-66adaf4f7661?utm_source=chatgpt.com" xr:uid="{AFC87744-3872-4704-BA3F-7A8875B086B4}"/>
    <hyperlink ref="H29" r:id="rId9" tooltip="Emission Factor: Other chemical products | Materials and Manufacturing ..." display="https://www.climatiq.io/data/emission-factor/02c9de96-6135-44d4-854b-c763068247b3?utm_source=chatgpt.com" xr:uid="{177D484B-3DB1-428F-8981-B9E5637A25C6}"/>
    <hyperlink ref="H30" r:id="rId10" tooltip="Emission Factor: Soap and detergents / cleaning and polishing ..." display="https://www.climatiq.io/data/emission-factor/897618ee-98ce-42ef-a122-aa79220f2824?utm_source=chatgpt.com" xr:uid="{B7A7ED2A-7744-4143-8BCC-6D79AD70DF84}"/>
    <hyperlink ref="H31" r:id="rId11" tooltip="Emission Factor: Computer / electronic and optical products (purchaser ..." display="https://www.climatiq.io/data/emission-factor/b1af3a94-ca4d-4981-bab9-812ed69122d7?utm_source=chatgpt.com" xr:uid="{85862E7D-32CF-43CB-8628-33091D089EC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C7B3-60D1-40BC-9B79-7466B71CFD6B}">
  <dimension ref="A1:M64"/>
  <sheetViews>
    <sheetView workbookViewId="0">
      <selection sqref="A1:D1"/>
    </sheetView>
  </sheetViews>
  <sheetFormatPr defaultRowHeight="15" x14ac:dyDescent="0.25"/>
  <cols>
    <col min="1" max="1" width="44" customWidth="1"/>
    <col min="2" max="2" width="14" customWidth="1"/>
    <col min="3" max="3" width="42" customWidth="1"/>
    <col min="4" max="4" width="22" customWidth="1"/>
    <col min="9" max="9" width="39.42578125" bestFit="1" customWidth="1"/>
    <col min="10" max="10" width="13" customWidth="1"/>
    <col min="11" max="11" width="19" customWidth="1"/>
  </cols>
  <sheetData>
    <row r="1" spans="1:4" ht="15.75" x14ac:dyDescent="0.25">
      <c r="A1" s="46" t="s">
        <v>131</v>
      </c>
      <c r="B1" s="46"/>
      <c r="C1" s="46"/>
      <c r="D1" s="46"/>
    </row>
    <row r="3" spans="1:4" ht="20.100000000000001" customHeight="1" x14ac:dyDescent="0.25">
      <c r="A3" s="47" t="s">
        <v>132</v>
      </c>
      <c r="B3" s="47"/>
      <c r="C3" s="47"/>
      <c r="D3" s="47"/>
    </row>
    <row r="4" spans="1:4" ht="18" customHeight="1" x14ac:dyDescent="0.25">
      <c r="A4" s="23" t="s">
        <v>133</v>
      </c>
      <c r="B4" s="23" t="s">
        <v>134</v>
      </c>
      <c r="C4" s="23" t="s">
        <v>135</v>
      </c>
      <c r="D4" s="23" t="s">
        <v>136</v>
      </c>
    </row>
    <row r="5" spans="1:4" x14ac:dyDescent="0.25">
      <c r="A5" s="24" t="s">
        <v>137</v>
      </c>
      <c r="B5" s="25">
        <v>0.5</v>
      </c>
      <c r="C5" s="26" t="s">
        <v>138</v>
      </c>
      <c r="D5" s="24" t="s">
        <v>139</v>
      </c>
    </row>
    <row r="6" spans="1:4" x14ac:dyDescent="0.25">
      <c r="A6" s="24" t="s">
        <v>140</v>
      </c>
      <c r="B6" s="25">
        <v>0.5</v>
      </c>
      <c r="C6" s="26" t="s">
        <v>138</v>
      </c>
      <c r="D6" s="24" t="s">
        <v>139</v>
      </c>
    </row>
    <row r="7" spans="1:4" x14ac:dyDescent="0.25">
      <c r="A7" s="24" t="s">
        <v>141</v>
      </c>
      <c r="B7" s="25">
        <v>0.8</v>
      </c>
      <c r="C7" s="26" t="s">
        <v>142</v>
      </c>
      <c r="D7" s="24" t="s">
        <v>139</v>
      </c>
    </row>
    <row r="8" spans="1:4" x14ac:dyDescent="0.25">
      <c r="A8" s="24" t="s">
        <v>143</v>
      </c>
      <c r="B8" s="25">
        <v>0</v>
      </c>
      <c r="C8" s="26" t="s">
        <v>144</v>
      </c>
      <c r="D8" s="24" t="s">
        <v>139</v>
      </c>
    </row>
    <row r="9" spans="1:4" x14ac:dyDescent="0.25">
      <c r="A9" s="24" t="s">
        <v>145</v>
      </c>
      <c r="B9" s="25">
        <v>0</v>
      </c>
      <c r="C9" s="26" t="s">
        <v>146</v>
      </c>
      <c r="D9" s="24" t="s">
        <v>139</v>
      </c>
    </row>
    <row r="10" spans="1:4" x14ac:dyDescent="0.25">
      <c r="A10" s="24" t="s">
        <v>147</v>
      </c>
      <c r="B10" s="25">
        <v>27</v>
      </c>
      <c r="C10" s="26" t="s">
        <v>148</v>
      </c>
      <c r="D10" s="24" t="s">
        <v>149</v>
      </c>
    </row>
    <row r="12" spans="1:4" ht="20.100000000000001" customHeight="1" x14ac:dyDescent="0.25">
      <c r="A12" s="47" t="s">
        <v>150</v>
      </c>
      <c r="B12" s="47"/>
      <c r="C12" s="47"/>
      <c r="D12" s="47"/>
    </row>
    <row r="13" spans="1:4" x14ac:dyDescent="0.25">
      <c r="A13" s="24" t="s">
        <v>151</v>
      </c>
      <c r="B13" s="25">
        <v>0.15</v>
      </c>
      <c r="C13" s="26" t="s">
        <v>152</v>
      </c>
      <c r="D13" s="24" t="s">
        <v>153</v>
      </c>
    </row>
    <row r="15" spans="1:4" x14ac:dyDescent="0.25">
      <c r="A15" s="44" t="s">
        <v>154</v>
      </c>
      <c r="B15" s="45"/>
      <c r="C15" s="45"/>
      <c r="D15" s="45"/>
    </row>
    <row r="21" spans="1:7" ht="15.75" x14ac:dyDescent="0.25">
      <c r="A21" s="46" t="s">
        <v>155</v>
      </c>
      <c r="B21" s="46"/>
      <c r="C21" s="46"/>
      <c r="D21" s="46"/>
      <c r="E21" s="46"/>
    </row>
    <row r="23" spans="1:7" x14ac:dyDescent="0.25">
      <c r="A23" s="23" t="s">
        <v>156</v>
      </c>
      <c r="B23" s="23" t="s">
        <v>157</v>
      </c>
      <c r="C23" s="23" t="s">
        <v>158</v>
      </c>
      <c r="D23" s="23" t="s">
        <v>159</v>
      </c>
      <c r="E23" s="23" t="s">
        <v>160</v>
      </c>
    </row>
    <row r="24" spans="1:7" x14ac:dyDescent="0.25">
      <c r="A24" s="24" t="s">
        <v>161</v>
      </c>
      <c r="B24" s="27">
        <v>40.299999999999997</v>
      </c>
      <c r="C24" s="28">
        <f>B24/100</f>
        <v>0.40299999999999997</v>
      </c>
      <c r="D24" s="29">
        <v>0.15</v>
      </c>
      <c r="E24" s="28">
        <f>C24*D24</f>
        <v>6.044999999999999E-2</v>
      </c>
      <c r="G24" t="s">
        <v>162</v>
      </c>
    </row>
    <row r="25" spans="1:7" x14ac:dyDescent="0.25">
      <c r="A25" s="24" t="s">
        <v>163</v>
      </c>
      <c r="B25" s="27">
        <v>11.3</v>
      </c>
      <c r="C25" s="28">
        <f>B25/100</f>
        <v>0.113</v>
      </c>
      <c r="D25" s="29">
        <v>0.4</v>
      </c>
      <c r="E25" s="28">
        <f>C25*D25</f>
        <v>4.5200000000000004E-2</v>
      </c>
    </row>
    <row r="26" spans="1:7" x14ac:dyDescent="0.25">
      <c r="A26" s="24" t="s">
        <v>164</v>
      </c>
      <c r="B26" s="27">
        <v>7.9</v>
      </c>
      <c r="C26" s="28">
        <f>B26/100</f>
        <v>7.9000000000000001E-2</v>
      </c>
      <c r="D26" s="29">
        <v>0.04</v>
      </c>
      <c r="E26" s="28">
        <f>C26*D26</f>
        <v>3.16E-3</v>
      </c>
      <c r="G26" t="s">
        <v>165</v>
      </c>
    </row>
    <row r="27" spans="1:7" x14ac:dyDescent="0.25">
      <c r="A27" s="24" t="s">
        <v>166</v>
      </c>
      <c r="B27" s="27">
        <v>2.5</v>
      </c>
      <c r="C27" s="28">
        <f>B27/100</f>
        <v>2.5000000000000001E-2</v>
      </c>
      <c r="D27" s="29">
        <v>0.24</v>
      </c>
      <c r="E27" s="28">
        <f>C27*D27</f>
        <v>6.0000000000000001E-3</v>
      </c>
    </row>
    <row r="28" spans="1:7" x14ac:dyDescent="0.25">
      <c r="B28" s="30"/>
      <c r="D28" s="31" t="s">
        <v>167</v>
      </c>
      <c r="E28" s="32">
        <f>SUM(E24:E27)</f>
        <v>0.11481</v>
      </c>
    </row>
    <row r="30" spans="1:7" x14ac:dyDescent="0.25">
      <c r="A30" s="44" t="s">
        <v>168</v>
      </c>
      <c r="B30" s="45"/>
      <c r="C30" s="45"/>
      <c r="D30" s="45"/>
      <c r="E30" s="45"/>
    </row>
    <row r="34" spans="1:13" ht="15.75" x14ac:dyDescent="0.25">
      <c r="A34" s="46" t="s">
        <v>169</v>
      </c>
      <c r="B34" s="46"/>
      <c r="C34" s="46"/>
      <c r="D34" s="46"/>
      <c r="E34" s="46"/>
      <c r="I34" s="46" t="s">
        <v>215</v>
      </c>
      <c r="J34" s="46"/>
      <c r="K34" s="46"/>
      <c r="L34" s="46"/>
      <c r="M34" s="46"/>
    </row>
    <row r="36" spans="1:13" x14ac:dyDescent="0.25">
      <c r="A36" s="47" t="s">
        <v>170</v>
      </c>
      <c r="B36" s="47"/>
      <c r="C36" s="47"/>
      <c r="D36" s="47"/>
      <c r="E36" s="47"/>
      <c r="I36" s="47" t="s">
        <v>170</v>
      </c>
      <c r="J36" s="47"/>
      <c r="K36" s="47"/>
      <c r="L36" s="47"/>
      <c r="M36" s="47"/>
    </row>
    <row r="37" spans="1:13" x14ac:dyDescent="0.25">
      <c r="A37" s="23" t="s">
        <v>171</v>
      </c>
      <c r="B37" s="23" t="s">
        <v>134</v>
      </c>
      <c r="C37" s="23" t="s">
        <v>136</v>
      </c>
      <c r="D37" t="s">
        <v>172</v>
      </c>
      <c r="E37" t="s">
        <v>172</v>
      </c>
      <c r="I37" s="23" t="s">
        <v>171</v>
      </c>
      <c r="J37" s="23" t="s">
        <v>134</v>
      </c>
      <c r="K37" s="23" t="s">
        <v>136</v>
      </c>
      <c r="L37" t="s">
        <v>172</v>
      </c>
      <c r="M37" t="s">
        <v>172</v>
      </c>
    </row>
    <row r="38" spans="1:13" x14ac:dyDescent="0.25">
      <c r="A38" s="24" t="s">
        <v>173</v>
      </c>
      <c r="B38" s="28">
        <f>E28</f>
        <v>0.11481</v>
      </c>
      <c r="C38" s="33" t="s">
        <v>174</v>
      </c>
      <c r="I38" s="24" t="s">
        <v>173</v>
      </c>
      <c r="J38" s="28">
        <f>[1]Inputs!$B$13</f>
        <v>0.15</v>
      </c>
      <c r="K38" s="33" t="s">
        <v>174</v>
      </c>
    </row>
    <row r="39" spans="1:13" x14ac:dyDescent="0.25">
      <c r="A39" s="24" t="s">
        <v>175</v>
      </c>
      <c r="B39" s="28">
        <f>B5</f>
        <v>0.5</v>
      </c>
      <c r="C39" s="33" t="s">
        <v>176</v>
      </c>
      <c r="I39" s="24" t="s">
        <v>175</v>
      </c>
      <c r="J39" s="28">
        <f>[1]Inputs!$B$5</f>
        <v>0.5</v>
      </c>
      <c r="K39" s="33" t="s">
        <v>176</v>
      </c>
    </row>
    <row r="40" spans="1:13" x14ac:dyDescent="0.25">
      <c r="A40" s="24" t="s">
        <v>177</v>
      </c>
      <c r="B40" s="28">
        <f>B7</f>
        <v>0.8</v>
      </c>
      <c r="C40" s="33" t="s">
        <v>176</v>
      </c>
      <c r="I40" s="24" t="s">
        <v>177</v>
      </c>
      <c r="J40" s="28">
        <f>[1]Inputs!$B$7</f>
        <v>0.8</v>
      </c>
      <c r="K40" s="33" t="s">
        <v>176</v>
      </c>
    </row>
    <row r="41" spans="1:13" x14ac:dyDescent="0.25">
      <c r="A41" s="24" t="s">
        <v>178</v>
      </c>
      <c r="B41" s="28">
        <f>B6</f>
        <v>0.5</v>
      </c>
      <c r="C41" s="33" t="s">
        <v>176</v>
      </c>
      <c r="I41" s="24" t="s">
        <v>178</v>
      </c>
      <c r="J41" s="28">
        <f>[1]Inputs!$B$6</f>
        <v>0.5</v>
      </c>
      <c r="K41" s="33" t="s">
        <v>176</v>
      </c>
    </row>
    <row r="42" spans="1:13" x14ac:dyDescent="0.25">
      <c r="A42" s="24" t="s">
        <v>179</v>
      </c>
      <c r="B42" s="28">
        <f>B8</f>
        <v>0</v>
      </c>
      <c r="C42" s="33" t="s">
        <v>176</v>
      </c>
      <c r="I42" s="24" t="s">
        <v>179</v>
      </c>
      <c r="J42" s="28">
        <f>[1]Inputs!$B$8</f>
        <v>0</v>
      </c>
      <c r="K42" s="33" t="s">
        <v>176</v>
      </c>
    </row>
    <row r="43" spans="1:13" x14ac:dyDescent="0.25">
      <c r="A43" s="24" t="s">
        <v>180</v>
      </c>
      <c r="B43" s="28">
        <f>B9</f>
        <v>0</v>
      </c>
      <c r="C43" s="33" t="s">
        <v>176</v>
      </c>
      <c r="I43" s="24" t="s">
        <v>180</v>
      </c>
      <c r="J43" s="28">
        <f>[1]Inputs!$B$9</f>
        <v>0</v>
      </c>
      <c r="K43" s="33" t="s">
        <v>176</v>
      </c>
    </row>
    <row r="44" spans="1:13" x14ac:dyDescent="0.25">
      <c r="A44" s="24" t="s">
        <v>181</v>
      </c>
      <c r="B44" s="28">
        <f>B10</f>
        <v>27</v>
      </c>
      <c r="C44" s="33" t="s">
        <v>182</v>
      </c>
      <c r="I44" s="24" t="s">
        <v>181</v>
      </c>
      <c r="J44" s="28">
        <f>[1]Inputs!$B$10</f>
        <v>27</v>
      </c>
      <c r="K44" s="33" t="s">
        <v>182</v>
      </c>
    </row>
    <row r="45" spans="1:13" x14ac:dyDescent="0.25">
      <c r="A45" s="24" t="s">
        <v>183</v>
      </c>
      <c r="B45" s="28">
        <f>16/12</f>
        <v>1.3333333333333333</v>
      </c>
      <c r="C45" s="33" t="s">
        <v>184</v>
      </c>
      <c r="I45" s="24" t="s">
        <v>183</v>
      </c>
      <c r="J45" s="28">
        <f>16/12</f>
        <v>1.3333333333333333</v>
      </c>
      <c r="K45" s="33" t="s">
        <v>184</v>
      </c>
    </row>
    <row r="47" spans="1:13" x14ac:dyDescent="0.25">
      <c r="A47" s="47" t="s">
        <v>185</v>
      </c>
      <c r="B47" s="47"/>
      <c r="C47" s="47"/>
      <c r="D47" s="47"/>
      <c r="E47" s="47"/>
      <c r="I47" s="47" t="s">
        <v>185</v>
      </c>
      <c r="J47" s="47"/>
      <c r="K47" s="47"/>
      <c r="L47" s="47"/>
      <c r="M47" s="47"/>
    </row>
    <row r="48" spans="1:13" x14ac:dyDescent="0.25">
      <c r="A48" s="24" t="s">
        <v>186</v>
      </c>
      <c r="B48" s="34">
        <f>B38*B39*B40*B41*B45</f>
        <v>3.0615999999999997E-2</v>
      </c>
      <c r="C48" s="33" t="s">
        <v>187</v>
      </c>
      <c r="I48" s="24" t="s">
        <v>186</v>
      </c>
      <c r="J48" s="34">
        <f>J38*J39*J40*J41*J45</f>
        <v>3.9999999999999994E-2</v>
      </c>
      <c r="K48" s="33" t="s">
        <v>187</v>
      </c>
    </row>
    <row r="49" spans="1:11" x14ac:dyDescent="0.25">
      <c r="A49" s="24" t="s">
        <v>188</v>
      </c>
      <c r="B49" s="34">
        <f>B48*(1-B43)*(1-B42)</f>
        <v>3.0615999999999997E-2</v>
      </c>
      <c r="C49" s="33" t="s">
        <v>187</v>
      </c>
      <c r="I49" s="24" t="s">
        <v>188</v>
      </c>
      <c r="J49" s="34">
        <f>J48*(1-J43)*(1-J42)</f>
        <v>3.9999999999999994E-2</v>
      </c>
      <c r="K49" s="33" t="s">
        <v>187</v>
      </c>
    </row>
    <row r="50" spans="1:11" x14ac:dyDescent="0.25">
      <c r="A50" s="24" t="s">
        <v>189</v>
      </c>
      <c r="B50" s="35">
        <f>B49*1000</f>
        <v>30.615999999999996</v>
      </c>
      <c r="C50" s="33" t="s">
        <v>190</v>
      </c>
      <c r="I50" s="24" t="s">
        <v>189</v>
      </c>
      <c r="J50" s="35">
        <f>J49*1000</f>
        <v>39.999999999999993</v>
      </c>
      <c r="K50" s="33" t="s">
        <v>190</v>
      </c>
    </row>
    <row r="51" spans="1:11" x14ac:dyDescent="0.25">
      <c r="A51" s="24" t="s">
        <v>191</v>
      </c>
      <c r="B51" s="36">
        <f>B50*B44</f>
        <v>826.63199999999995</v>
      </c>
      <c r="C51" s="33" t="s">
        <v>192</v>
      </c>
      <c r="I51" s="24" t="s">
        <v>191</v>
      </c>
      <c r="J51" s="36">
        <f>J50*J44</f>
        <v>1079.9999999999998</v>
      </c>
      <c r="K51" s="33" t="s">
        <v>192</v>
      </c>
    </row>
    <row r="52" spans="1:11" x14ac:dyDescent="0.25">
      <c r="A52" s="37" t="s">
        <v>193</v>
      </c>
      <c r="B52" s="38">
        <f>B51/1000</f>
        <v>0.82663199999999992</v>
      </c>
      <c r="C52" s="33" t="s">
        <v>194</v>
      </c>
      <c r="I52" s="37" t="s">
        <v>193</v>
      </c>
      <c r="J52" s="38">
        <f>J51/1000</f>
        <v>1.0799999999999998</v>
      </c>
      <c r="K52" s="33" t="s">
        <v>194</v>
      </c>
    </row>
    <row r="53" spans="1:11" x14ac:dyDescent="0.25">
      <c r="A53" s="24"/>
      <c r="B53" s="33"/>
      <c r="C53" s="33"/>
      <c r="I53" s="24"/>
      <c r="J53" s="33"/>
      <c r="K53" s="33"/>
    </row>
    <row r="54" spans="1:11" x14ac:dyDescent="0.25">
      <c r="A54" s="24" t="s">
        <v>195</v>
      </c>
      <c r="B54" s="39">
        <v>1</v>
      </c>
      <c r="C54" s="33" t="s">
        <v>196</v>
      </c>
      <c r="I54" s="24" t="s">
        <v>195</v>
      </c>
      <c r="J54" s="39">
        <v>1</v>
      </c>
      <c r="K54" s="33" t="s">
        <v>196</v>
      </c>
    </row>
    <row r="55" spans="1:11" x14ac:dyDescent="0.25">
      <c r="A55" s="37" t="s">
        <v>197</v>
      </c>
      <c r="B55" s="38">
        <f>B52*B54</f>
        <v>0.82663199999999992</v>
      </c>
      <c r="C55" s="33" t="s">
        <v>32</v>
      </c>
      <c r="I55" s="37" t="s">
        <v>197</v>
      </c>
      <c r="J55" s="38">
        <f>J52*J54</f>
        <v>1.0799999999999998</v>
      </c>
      <c r="K55" s="33" t="s">
        <v>32</v>
      </c>
    </row>
    <row r="59" spans="1:11" ht="15.75" x14ac:dyDescent="0.25">
      <c r="A59" s="46" t="s">
        <v>198</v>
      </c>
      <c r="B59" s="46"/>
      <c r="C59" s="46"/>
      <c r="D59" s="46"/>
    </row>
    <row r="61" spans="1:11" x14ac:dyDescent="0.25">
      <c r="A61" s="23" t="s">
        <v>199</v>
      </c>
      <c r="B61" s="23" t="s">
        <v>200</v>
      </c>
      <c r="C61" s="23" t="s">
        <v>201</v>
      </c>
      <c r="D61" s="23" t="s">
        <v>202</v>
      </c>
    </row>
    <row r="62" spans="1:11" ht="60" x14ac:dyDescent="0.25">
      <c r="A62" s="26" t="s">
        <v>203</v>
      </c>
      <c r="B62" s="24" t="s">
        <v>204</v>
      </c>
      <c r="C62" s="26" t="s">
        <v>205</v>
      </c>
      <c r="D62" s="26" t="s">
        <v>206</v>
      </c>
    </row>
    <row r="63" spans="1:11" ht="45" x14ac:dyDescent="0.25">
      <c r="A63" s="26" t="s">
        <v>207</v>
      </c>
      <c r="B63" s="24" t="s">
        <v>208</v>
      </c>
      <c r="C63" s="26" t="s">
        <v>209</v>
      </c>
      <c r="D63" s="26" t="s">
        <v>210</v>
      </c>
    </row>
    <row r="64" spans="1:11" ht="30" x14ac:dyDescent="0.25">
      <c r="A64" s="26" t="s">
        <v>211</v>
      </c>
      <c r="B64" s="24" t="s">
        <v>212</v>
      </c>
      <c r="C64" s="26" t="s">
        <v>213</v>
      </c>
      <c r="D64" s="26" t="s">
        <v>214</v>
      </c>
    </row>
  </sheetData>
  <mergeCells count="13">
    <mergeCell ref="A34:E34"/>
    <mergeCell ref="A36:E36"/>
    <mergeCell ref="A47:E47"/>
    <mergeCell ref="A59:D59"/>
    <mergeCell ref="I34:M34"/>
    <mergeCell ref="I36:M36"/>
    <mergeCell ref="I47:M47"/>
    <mergeCell ref="A30:E30"/>
    <mergeCell ref="A1:D1"/>
    <mergeCell ref="A3:D3"/>
    <mergeCell ref="A12:D12"/>
    <mergeCell ref="A15:D15"/>
    <mergeCell ref="A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Emission factor</vt:lpstr>
      <vt:lpstr>Solid waste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Bijay Thapa</dc:creator>
  <cp:lastModifiedBy>Bijay Thapa</cp:lastModifiedBy>
  <dcterms:created xsi:type="dcterms:W3CDTF">2026-05-21T05:03:22Z</dcterms:created>
  <dcterms:modified xsi:type="dcterms:W3CDTF">2026-06-21T12:16:43Z</dcterms:modified>
</cp:coreProperties>
</file>